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luenoe\Downloads\"/>
    </mc:Choice>
  </mc:AlternateContent>
  <xr:revisionPtr revIDLastSave="0" documentId="13_ncr:1_{38ADA11F-C0CF-4820-AB82-89308ACE98E0}" xr6:coauthVersionLast="47" xr6:coauthVersionMax="47" xr10:uidLastSave="{00000000-0000-0000-0000-000000000000}"/>
  <bookViews>
    <workbookView xWindow="-120" yWindow="-120" windowWidth="29040" windowHeight="16440" xr2:uid="{00000000-000D-0000-FFFF-FFFF00000000}"/>
  </bookViews>
  <sheets>
    <sheet name="Test Case Matr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 l="1"/>
  <c r="B4" i="1"/>
  <c r="E3" i="1"/>
  <c r="B3" i="1"/>
</calcChain>
</file>

<file path=xl/sharedStrings.xml><?xml version="1.0" encoding="utf-8"?>
<sst xmlns="http://schemas.openxmlformats.org/spreadsheetml/2006/main" count="187" uniqueCount="142">
  <si>
    <t>BẢNG MA TRẬN KỊCH BẢN KIỂM THỬ TỔNG HỢP (COMPREHENSIVE TEST CASE MATRIX)</t>
  </si>
  <si>
    <t>Phân hệ (Module):</t>
  </si>
  <si>
    <t>Cart, Checkout, Orders</t>
  </si>
  <si>
    <t>Dự án (Project):</t>
  </si>
  <si>
    <t>E-Commerce Web Application (BluShop)</t>
  </si>
  <si>
    <t>Số Test Cases:</t>
  </si>
  <si>
    <t>Đạt (Passed):</t>
  </si>
  <si>
    <t>Ngày tạo (Date):</t>
  </si>
  <si>
    <t>2026-08-06</t>
  </si>
  <si>
    <t>Lỗi (Failed):</t>
  </si>
  <si>
    <t>Tỷ lệ Đạt (Pass Rate):</t>
  </si>
  <si>
    <t>Trạng thái (Status):</t>
  </si>
  <si>
    <t>Hoàn thành (Passed)</t>
  </si>
  <si>
    <t>Test Case ID</t>
  </si>
  <si>
    <t>Phân hệ
(Module)</t>
  </si>
  <si>
    <t>Mô tả kịch bản kiểm thử
(Scenario / Description)</t>
  </si>
  <si>
    <t>Loại kiểm thử
(Execution Type)</t>
  </si>
  <si>
    <t>Điều kiện tiền đề
(Preconditions)</t>
  </si>
  <si>
    <t>Các bước thực hiện
(Input / Steps)</t>
  </si>
  <si>
    <t>Kết quả mong đợi
(Expected Outcome)</t>
  </si>
  <si>
    <t>Kết quả thực tế
(Actual Result)</t>
  </si>
  <si>
    <t>Trạng thái
(Status)</t>
  </si>
  <si>
    <t>Mã lỗi
(Bug ID)</t>
  </si>
  <si>
    <t>TC-CRT-01</t>
  </si>
  <si>
    <t>Cart</t>
  </si>
  <si>
    <t>Thêm sản phẩm vào giỏ hàng với kích thước và màu sắc hợp lệ
(Add product with valid size &amp; color)</t>
  </si>
  <si>
    <t>UI / API</t>
  </si>
  <si>
    <t>Sản phẩm ở trạng thái hoạt động, số lượng tồn kho &gt; 5
(Product active, stock &gt; 5)</t>
  </si>
  <si>
    <t>1. Chọn kích thước 'M', màu sắc 'Black', số lượng 2.
2. Click nút 'Add to Cart'.
(1. Select size 'M', color 'Black', qty 2.
2. Click 'Add to Cart'.)</t>
  </si>
  <si>
    <t>Sản phẩm được thêm vào giỏ hàng thành công. Session key cart[id_size_color] được tạo. HTTP status 200 hoặc Redirect kèm thông báo thành công.
(Item added successfully. Session key cart[id_size_color] created. HTTP status 200/Redirect with success toast.)</t>
  </si>
  <si>
    <t>Sản phẩm được thêm vào giỏ hàng thành công, hiển thị toast message và cập nhật số lượng trên icon giỏ hàng.
(Item added successfully, success toast displayed, cart icon updated.)</t>
  </si>
  <si>
    <t>Passed</t>
  </si>
  <si>
    <t>TC-CRT-02</t>
  </si>
  <si>
    <t>Thêm sản phẩm với số lượng vượt quá tồn kho khả dụng
(Add quantity exceeding total stock)</t>
  </si>
  <si>
    <t>Sản phẩm có tồn kho = 3
(Product stock = 3)</t>
  </si>
  <si>
    <t>1. Nhập số lượng = 5.
2. Click 'Add to Cart'.
(1. Attempt to add quantity = 5.
2. Click 'Add to Cart'.)</t>
  </si>
  <si>
    <t>Yêu cầu bị từ chối với mã lỗi HTTP 422 JSON hoặc hiển thị banner thông báo lỗi: 'Sorry, only 3 units available'.
(Request rejected with HTTP 422 JSON or error banner: 'Sorry, only 3 units available'.)</t>
  </si>
  <si>
    <t>Yêu cầu được chấp nhận và cho phép chuyển tới checkout với 5 sản phẩm dù kho chỉ có 3. Lỗi kiểm tra tồn kho ở Backend.
(Request accepted and checkout allowed with 5 items despite stock of 3. Backend validation bypassed.)</t>
  </si>
  <si>
    <t>Failed</t>
  </si>
  <si>
    <t>BUG-CART-002</t>
  </si>
  <si>
    <t>TC-CRT-03</t>
  </si>
  <si>
    <t>Kiểm tra giới hạn tồn kho tích lũy qua nhiều lần thêm
(Cumulative stock check across multiple additions)</t>
  </si>
  <si>
    <t>Sản phẩm đã có trong giỏ hàng với số lượng = 2, tồn kho DB = 3
(Item in cart qty = 2, DB stock = 3)</t>
  </si>
  <si>
    <t>1. Thêm tiếp 2 sản phẩm cùng biến thể vào giỏ hàng.
(1. Attempt to add 2 more units of same variant.)</t>
  </si>
  <si>
    <t>Bị chặn. Hiển thị thông báo: 'Product is already at max stock in your bag'. Tổng số lượng trong giỏ hàng giữ nguyên là 2.
(Blocked. Message: 'Product is already at max stock in your bag'. Total in cart remains 2.)</t>
  </si>
  <si>
    <t>Hệ thống chặn không cho thêm và hiển thị cảnh báo đạt giới hạn tồn kho chính xác.
(System blocked addition and correctly displayed maximum stock warning.)</t>
  </si>
  <si>
    <t>TC-CRT-04</t>
  </si>
  <si>
    <t>Cập nhật số lượng sản phẩm trong giỏ hàng
(Update item quantity in cart)</t>
  </si>
  <si>
    <t>Đã có sản phẩm trong giỏ hàng
(Item in cart)</t>
  </si>
  <si>
    <t>1. Gửi request POST tới /cart/update với rowId và số lượng = 4.
(1. Send POST to /cart/update with rowId &amp; quantity = 4.)</t>
  </si>
  <si>
    <t>Session được cập nhật. Thành tiền của sản phẩm, tổng tiền giỏ hàng, phí vận chuyển và tổng thanh toán được tính toán lại chính xác.
(Session updated. Item subtotal, cart subtotal, shipping fee, and grand total recalculated correctly.)</t>
  </si>
  <si>
    <t>Session cập nhật thành công, tất cả các hóa đơn thành tiền được tính toán lại hoàn toàn khớp.
(Session updated successfully, all subtotals and totals recalculated accurately.)</t>
  </si>
  <si>
    <t>TC-CRT-05</t>
  </si>
  <si>
    <t>Tính phí vận chuyển động (Dưới ngưỡng miễn phí vận chuyển)
(Calculate Dynamic Shipping Fee - Below Threshold)</t>
  </si>
  <si>
    <t>UI / SQL</t>
  </si>
  <si>
    <t>Ngưỡng miễn phí vận chuyển = 500,000 VND, phí ship mặc định = 30,000 VND
(free_shipping_threshold = 500,000, shipping_fee = 30,000)</t>
  </si>
  <si>
    <t>1. Thêm các sản phẩm có tổng giá trị = 350,000 VND.
(1. Add cart items total = 350,000 VND.)</t>
  </si>
  <si>
    <t>Tổng tiền sản phẩm = 350,000 VND, Phí vận chuyển = 30,000 VND, Tổng thanh toán = 380,000 VND.
(Subtotal = 350,000, Shipping = 30,000, Total = 380,000 VND.)</t>
  </si>
  <si>
    <t>Hệ thống áp dụng chính xác phí vận chuyển 30,000 VND cho đơn hàng dưới 500k.
(System correctly applied 30,000 VND shipping fee for order below 500k.)</t>
  </si>
  <si>
    <t>TC-CRT-06</t>
  </si>
  <si>
    <t>Tính phí vận chuyển động (Trên ngưỡng miễn phí vận chuyển)
(Calculate Dynamic Shipping Fee - Above Threshold)</t>
  </si>
  <si>
    <t>1. Thêm các sản phẩm có tổng giá trị = 550,000 VND.
(1. Add cart items total = 550,000 VND.)</t>
  </si>
  <si>
    <t>Tổng tiền sản phẩm = 550,000 VND, Phí vận chuyển = 0 VND (Miễn phí), Tổng thanh toán = 550,000 VND.
(Subtotal = 550,000, Shipping = 0 (Free), Total = 550,000 VND.)</t>
  </si>
  <si>
    <t>Phí ship được tự động giảm về 0 VND, hiển thị nhãn 'Free Shipping' chuẩn xác.
(Shipping fee auto-reduced to 0 VND, 'Free Shipping' label displayed correctly.)</t>
  </si>
  <si>
    <t>TC-CRT-07</t>
  </si>
  <si>
    <t>Xóa một biến thể sản phẩm cụ thể khỏi giỏ hàng
(Remove specific item variant)</t>
  </si>
  <si>
    <t>Giỏ hàng chứa 2 sản phẩm khác nhau
(Cart contains 2 distinct items)</t>
  </si>
  <si>
    <t>1. Gửi request POST tới /cart/remove với rowId của sản phẩm cần xóa.
(1. Send POST to /cart/remove with rowId.)</t>
  </si>
  <si>
    <t>Sản phẩm mục tiêu bị xóa khỏi session('cart'). Phản hồi chứa tổng số tiền và số lượng giỏ hàng được cập nhật.
(Target row deleted from session('cart'). Response contains updated totals and cart_count.)</t>
  </si>
  <si>
    <t>Sản phẩm được loại bỏ hoàn toàn khỏi giỏ hàng và session, giao diện cập nhật không cần tải lại trang.
(Item completely removed from cart and session, UI updated without page reload.)</t>
  </si>
  <si>
    <t>TC-CRT-08</t>
  </si>
  <si>
    <t>Xóa sạch toàn bộ giỏ hàng
(Clear entire cart)</t>
  </si>
  <si>
    <t>Giỏ hàng chứa nhiều sản phẩm
(Cart contains multiple items)</t>
  </si>
  <si>
    <t>1. Kích hoạt request POST tới /cart/clear.
(1. Trigger POST /cart/clear.)</t>
  </si>
  <si>
    <t>Khóa session 'cart' bị xóa bỏ. Chuyển hướng người dùng về giao diện giỏ hàng trống.
(Session key cart forgotten. Redirection to empty cart UI state.)</t>
  </si>
  <si>
    <t>Giỏ hàng được làm sạch hoàn toàn, session được xóa và chuyển hướng về trang /cart trống.
(Cart cleared, session forgotten, and redirected to empty /cart page.)</t>
  </si>
  <si>
    <t>TC-CHK-01</t>
  </si>
  <si>
    <t>Checkout</t>
  </si>
  <si>
    <t>Chuyển hướng người dùng chưa đăng nhập khi truy cập thanh toán
(Unauthenticated user access redirect)</t>
  </si>
  <si>
    <t>Phiên làm việc của khách chưa đăng nhập
(Guest user session)</t>
  </si>
  <si>
    <t>1. Điều hướng trực tiếp tới trang /checkout.
(1. Navigate to /checkout.)</t>
  </si>
  <si>
    <t>Bị chuyển hướng về trang đăng nhập với thông báo yêu cầu xác thực từ middleware.
(Redirected to login page with auth middleware challenge.)</t>
  </si>
  <si>
    <t>Hệ thống chặn truy cập và chuyển hướng về /login kèm session flash message yêu cầu đăng nhập.
(System blocked access and redirected to /login with flash message.)</t>
  </si>
  <si>
    <t>TC-CHK-02</t>
  </si>
  <si>
    <t>Cố gắng thanh toán khi giỏ hàng trống
(Empty cart checkout attempt)</t>
  </si>
  <si>
    <t>Người dùng đã đăng nhập, giỏ hàng trống
(Logged in user, cart is empty)</t>
  </si>
  <si>
    <t>1. Truy cập /checkout hoặc gửi POST tới /checkout.
(1. Access /checkout or POST to /checkout.)</t>
  </si>
  <si>
    <t>Chuyển hướng về trang giỏ hàng /cart với thông báo cảnh báo: 'Cart is empty'.
(Redirected to /cart with warning message: 'Cart is empty'.)</t>
  </si>
  <si>
    <t>Hệ thống từ chối thanh toán và chuyển hướng về /cart kèm cảnh báo giỏ hàng trống.
(System rejected checkout and redirected to /cart with empty cart warning.)</t>
  </si>
  <si>
    <t>TC-CHK-03</t>
  </si>
  <si>
    <t>Kiểm tra tính hợp lệ của dữ liệu form thanh toán
(Form validation failures)</t>
  </si>
  <si>
    <t>Giỏ hàng có 1 sản phẩm
(Cart has 1 item)</t>
  </si>
  <si>
    <t>1. Gửi form thanh toán nhưng để trống số điện thoại và địa chỉ.
(1. Submit checkout with blank phone and address.)</t>
  </si>
  <si>
    <t>Trả về các lỗi validation (mã lỗi 422 cho API hoặc redirect về kèm theo thông báo lỗi trường dữ liệu).
(Validation errors returned (422 / HTTP redirect back with field errors).)</t>
  </si>
  <si>
    <t>Hiển thị thông báo lỗi chi tiết cho từng trường bị thiếu bên cạnh ô nhập liệu.
(Detailed validation errors displayed next to empty fields.)</t>
  </si>
  <si>
    <t>TC-CHK-04</t>
  </si>
  <si>
    <t>Phòng chống thay đổi giá sản phẩm (Cơ chế bảo mật thanh toán)
(Price Tampering Defense - Security Verification)</t>
  </si>
  <si>
    <t>API / DB</t>
  </si>
  <si>
    <t>Giá sản phẩm thực tế trong DB = 200,000 VND
(Product price in DB = 200,000 VND)</t>
  </si>
  <si>
    <t>1. Sửa đổi gói tin giỏ hàng trong session hoặc payload yêu cầu đặt giá sản phẩm = 10 VND trước khi gửi.
(1. Modify session cart array setting price = 10 before submit.)</t>
  </si>
  <si>
    <t>Hệ thống bỏ qua giá trị giá gửi lên từ client, truy vấn trực tiếp giá thực tế từ cơ sở dữ liệu (sử dụng lockForUpdate()) và tính tiền 200,000 VND.
(System ignores session price, fetches actual price from DB (lockForUpdate()), and charges 200,000 VND.)</t>
  </si>
  <si>
    <t>Hệ thống phát hiện giá trị sai lệch, tự động ghi đè bằng giá DB thực tế và tính đúng 200,000 VND.
(System detected mismatched price, auto-overrode with DB price, and charged 200,000 VND.)</t>
  </si>
  <si>
    <t>TC-CHK-05</t>
  </si>
  <si>
    <t>Đặt hàng thành công và cam kết giao dịch cơ sở dữ liệu
(Successful Order Placement &amp; Transaction Commit)</t>
  </si>
  <si>
    <t>Người dùng đã đăng nhập, giỏ hàng hợp lệ, tồn kho sản phẩm = 10
(User logged in, Cart valid, Product stock = 10)</t>
  </si>
  <si>
    <t>1. Gửi form thanh toán hợp lệ.
(1. Submit valid checkout form.)</t>
  </si>
  <si>
    <t>1. Đơn hàng được tạo trong bảng 'orders' với mã dạng ORD-YYYYMMDD-XXXX.
2. Các mặt hàng được lưu vào 'order_items'.
3. Tồn kho sản phẩm giảm xuống còn 9.
4. Giỏ hàng được xóa sạch.
5. Event OrderPlaced được kích hoạt.
(1. Order created with code ORD-YYYYMMDD-XXXX.
2. Items inserted in order_items.
3. Product stock reduced to 9.
4. Cart cleared.
5. OrderPlaced event dispatched.)</t>
  </si>
  <si>
    <t>Tất cả 5 bước database và sự kiện diễn ra thành công đồng bộ trong một Database Transaction.
(All 5 database and event steps succeeded atomically within a DB Transaction.)</t>
  </si>
  <si>
    <t>TC-CHK-06</t>
  </si>
  <si>
    <t>Xử lý xung đột tồn kho bị cạn kiệt ngay trong quá trình thanh toán
(Stock depletion midway through checkout)</t>
  </si>
  <si>
    <t>DB / API</t>
  </si>
  <si>
    <t>Tồn kho sản phẩm còn đúng = 1
(Product stock = 1)</t>
  </si>
  <si>
    <t>1. Người dùng A mở trang checkout.
2. Người dùng B tiến hành đặt mua và thanh toán hết sản phẩm đó trước khi người dùng A bấm nút gửi đơn hàng.
(1. User A opens checkout. User B purchases last unit before User A submits.)</t>
  </si>
  <si>
    <t>Yêu cầu gửi đơn hàng của người dùng A thất bại. Giao dịch bị rollback. Không có đơn hàng nào được tạo. Hiển thị thông báo: 'Product no longer available'.
(User A submit fails. Transaction rolled back (rollBack()). No order created. Error: 'Product no longer available'.)</t>
  </si>
  <si>
    <t>Hệ thống thực hiện rollback giao dịch chính xác, không tạo đơn hàng lỗi, hoàn trả thông báo hết hàng cho User A.
(System rolled back transaction correctly, no corrupt order was created, returned out-of-stock warning to User A.)</t>
  </si>
  <si>
    <t>TC-ORD-01</t>
  </si>
  <si>
    <t>Orders</t>
  </si>
  <si>
    <t>Xem lịch sử đơn hàng của khách hàng kèm phân trang
(View customer order history pagination)</t>
  </si>
  <si>
    <t>Người dùng đã đăng nhập và có sẵn 15 đơn hàng trong hệ thống
(Logged in user with 15 orders)</t>
  </si>
  <si>
    <t>1. Truy cập trang lịch sử đơn hàng /orders.
(1. Navigate to /orders.)</t>
  </si>
  <si>
    <t>Trang 1 hiển thị 10 đơn hàng mới nhất và tải trước (eager load) hình ảnh sản phẩm liên quan để tối ưu hóa truy vấn.
(Page 1 displays latest 10 orders with eager loaded product images.)</t>
  </si>
  <si>
    <t>Danh sách hiển thị chính xác 10 đơn hàng mới nhất, nút phân trang hoạt động tốt và không gặp lỗi N+1 Query.
(List correctly displayed latest 10 orders, pagination worked perfectly without N+1 Query issues.)</t>
  </si>
  <si>
    <t>TC-ORD-02</t>
  </si>
  <si>
    <t>Ngăn chặn truy cập trái phép vào chi tiết đơn hàng của khách hàng khác
(Access unauthorized order detail)</t>
  </si>
  <si>
    <t>Người dùng A đã đăng nhập
(User A logged in)</t>
  </si>
  <si>
    <t>1. Truy cập trực tiếp đường dẫn đơn hàng của người dùng B: /orders/ORD-USER-B-CODE.
(1. Navigate to /orders/ORD-USER-B-CODE.)</t>
  </si>
  <si>
    <t>Từ chối truy cập với mã lỗi HTTP 403 Forbidden.
(Access denied with HTTP 403 Forbidden.)</t>
  </si>
  <si>
    <t>Hệ thống từ chối truy cập và trả về màn hình lỗi HTTP 403 Forbidden chuẩn bảo mật.
(System blocked access and returned HTTP 403 Forbidden page for security.)</t>
  </si>
  <si>
    <t>TC-ORD-03</t>
  </si>
  <si>
    <t>Hủy đơn hàng ở trạng thái chờ xử lý (Pending)
(Cancel order in pending status)</t>
  </si>
  <si>
    <t>UI / API / SQL</t>
  </si>
  <si>
    <t>Đơn hàng có trạng thái = pending, Tồn kho sản phẩm = 5
(Order status = pending, Product stock = 5)</t>
  </si>
  <si>
    <t>1. Khách hàng gửi request POST tới /orders/{order_code}/cancel kèm lý do hủy đơn.
(1. Customer submits POST to /orders/{order_code}/cancel with reason.)</t>
  </si>
  <si>
    <t>Trạng thái đơn hàng cập nhật thành 'canceled'. Trường lý do hủy 'cancellation_reason' và thời gian hủy 'cancelled_at' được lưu lại. Tồn kho sản phẩm được hoàn trả lại thành 6 qua phép cộng nguyên tử (atomic increment).
(Order status updated to canceled. cancellation_reason and cancelled_at saved. Product stock restored to 6 via atomic increment.)</t>
  </si>
  <si>
    <t>Đơn hàng cập nhật trạng thái đã hủy, hoàn trả lại đúng 1 đơn vị sản phẩm vào kho lưu trữ database.
(Order status updated to canceled, correctly returned 1 product unit back to database stock.)</t>
  </si>
  <si>
    <t>TC-ORD-04</t>
  </si>
  <si>
    <t>Ngăn chặn việc hủy đơn hàng khi đơn hàng đang trên đường vận chuyển (Shipping)
(Attempt cancellation of shipping order)</t>
  </si>
  <si>
    <t>Đơn hàng có trạng thái = shipping
(Order status = shipping)</t>
  </si>
  <si>
    <t>1. Khách hàng cố gắng gửi yêu cầu hủy đơn hàng đang giao.
(1. Customer attempts cancellation request.)</t>
  </si>
  <si>
    <t>Yêu cầu bị chặn với mã lỗi HTTP 422 JSON hoặc thông báo lỗi: 'Order cannot be canceled in current status'. Tồn kho sản phẩm không thay đổi.
(Blocked with HTTP 422 JSON: 'Order cannot be canceled in current status'. Stock unchanged.)</t>
  </si>
  <si>
    <t>Nút hủy đơn bị ẩn đi trên giao diện và nếu gọi API trực tiếp thì hệ thống báo lỗi 422 từ chối hủy.
(Cancel button disabled on UI, direct API call returned 422 error rejecting cancellation.)</t>
  </si>
  <si>
    <t>Người tạo (Reporter): Huỳnh Dương Bảo Khánh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</si>
</sst>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5"/>
      <color rgb="FFFFFFFF"/>
      <name val="Segoe UI"/>
    </font>
    <font>
      <b/>
      <sz val="10"/>
      <color rgb="FF333333"/>
      <name val="Segoe UI"/>
    </font>
    <font>
      <sz val="10"/>
      <color rgb="FF000000"/>
      <name val="Segoe UI"/>
    </font>
    <font>
      <b/>
      <sz val="10"/>
      <color rgb="FF000000"/>
      <name val="Segoe UI"/>
    </font>
    <font>
      <b/>
      <sz val="10"/>
      <color rgb="FF2E7D32"/>
      <name val="Segoe UI"/>
    </font>
    <font>
      <b/>
      <sz val="10"/>
      <color rgb="FFC62828"/>
      <name val="Segoe UI"/>
    </font>
    <font>
      <b/>
      <sz val="10"/>
      <color rgb="FFFFFFFF"/>
      <name val="Segoe UI"/>
    </font>
  </fonts>
  <fills count="9">
    <fill>
      <patternFill patternType="none"/>
    </fill>
    <fill>
      <patternFill patternType="gray125"/>
    </fill>
    <fill>
      <patternFill patternType="solid">
        <fgColor rgb="FF1F4E79"/>
        <bgColor rgb="FF1F4E79"/>
      </patternFill>
    </fill>
    <fill>
      <patternFill patternType="solid">
        <fgColor rgb="FFE9EEF4"/>
        <bgColor rgb="FFE9EEF4"/>
      </patternFill>
    </fill>
    <fill>
      <patternFill patternType="solid">
        <fgColor rgb="FFF5F7FA"/>
        <bgColor rgb="FFF5F7FA"/>
      </patternFill>
    </fill>
    <fill>
      <patternFill patternType="solid">
        <fgColor rgb="FFFFF2CC"/>
        <bgColor rgb="FFFFF2CC"/>
      </patternFill>
    </fill>
    <fill>
      <patternFill patternType="solid">
        <fgColor rgb="FFF2F5F8"/>
        <bgColor rgb="FFF2F5F8"/>
      </patternFill>
    </fill>
    <fill>
      <patternFill patternType="solid">
        <fgColor rgb="FFE8F5E9"/>
        <bgColor rgb="FFE8F5E9"/>
      </patternFill>
    </fill>
    <fill>
      <patternFill patternType="solid">
        <fgColor rgb="FFFFEBEE"/>
        <bgColor rgb="FFFFEBEE"/>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double">
        <color rgb="FF1F4E79"/>
      </bottom>
      <diagonal/>
    </border>
  </borders>
  <cellStyleXfs count="1">
    <xf numFmtId="0" fontId="0" fillId="0" borderId="0"/>
  </cellStyleXfs>
  <cellXfs count="26">
    <xf numFmtId="0" fontId="0" fillId="0" borderId="0" xfId="0"/>
    <xf numFmtId="0" fontId="2" fillId="3"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3"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6" fillId="8"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6" borderId="4" xfId="0" applyFill="1" applyBorder="1" applyAlignment="1">
      <alignment horizontal="center" vertical="center" wrapText="1"/>
    </xf>
    <xf numFmtId="0" fontId="0" fillId="6" borderId="4" xfId="0"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164" fontId="4" fillId="4" borderId="1" xfId="0" applyNumberFormat="1" applyFont="1" applyFill="1" applyBorder="1" applyAlignment="1">
      <alignment horizontal="left" vertical="center" wrapText="1"/>
    </xf>
    <xf numFmtId="0" fontId="0" fillId="0" borderId="2" xfId="0" applyBorder="1"/>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3" xfId="0" applyBorder="1"/>
    <xf numFmtId="0" fontId="4"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tabSelected="1" workbookViewId="0">
      <selection activeCell="C6" sqref="C6"/>
    </sheetView>
  </sheetViews>
  <sheetFormatPr defaultRowHeight="15" x14ac:dyDescent="0.25"/>
  <cols>
    <col min="1" max="2" width="15" customWidth="1"/>
    <col min="3" max="3" width="35" customWidth="1"/>
    <col min="4" max="4" width="15" customWidth="1"/>
    <col min="5" max="5" width="35" customWidth="1"/>
    <col min="6" max="6" width="40" customWidth="1"/>
    <col min="7" max="7" width="43.7109375" customWidth="1"/>
    <col min="8" max="8" width="40" customWidth="1"/>
    <col min="9" max="10" width="15" customWidth="1"/>
  </cols>
  <sheetData>
    <row r="1" spans="1:10" ht="36.75" customHeight="1" x14ac:dyDescent="0.25">
      <c r="A1" s="16" t="s">
        <v>0</v>
      </c>
      <c r="B1" s="17"/>
      <c r="C1" s="17"/>
      <c r="D1" s="17"/>
      <c r="E1" s="17"/>
      <c r="F1" s="17"/>
      <c r="G1" s="17"/>
      <c r="H1" s="17"/>
      <c r="I1" s="17"/>
      <c r="J1" s="17"/>
    </row>
    <row r="2" spans="1:10" ht="28.5" x14ac:dyDescent="0.25">
      <c r="A2" s="1" t="s">
        <v>1</v>
      </c>
      <c r="B2" s="20" t="s">
        <v>2</v>
      </c>
      <c r="C2" s="19"/>
      <c r="D2" s="1" t="s">
        <v>3</v>
      </c>
      <c r="E2" s="21" t="s">
        <v>4</v>
      </c>
      <c r="F2" s="19"/>
      <c r="G2" s="1" t="s">
        <v>141</v>
      </c>
      <c r="H2" s="23"/>
      <c r="I2" s="22"/>
      <c r="J2" s="19"/>
    </row>
    <row r="3" spans="1:10" x14ac:dyDescent="0.25">
      <c r="A3" s="1" t="s">
        <v>5</v>
      </c>
      <c r="B3" s="21">
        <f>COUNTA(A7:A24)</f>
        <v>18</v>
      </c>
      <c r="C3" s="19"/>
      <c r="D3" s="1" t="s">
        <v>6</v>
      </c>
      <c r="E3" s="25">
        <f>COUNTIF(I7:I29, "Passed")</f>
        <v>17</v>
      </c>
      <c r="F3" s="19"/>
      <c r="G3" s="1" t="s">
        <v>7</v>
      </c>
      <c r="H3" s="20" t="s">
        <v>8</v>
      </c>
      <c r="I3" s="22"/>
      <c r="J3" s="19"/>
    </row>
    <row r="4" spans="1:10" ht="28.5" x14ac:dyDescent="0.25">
      <c r="A4" s="1" t="s">
        <v>9</v>
      </c>
      <c r="B4" s="24">
        <f>COUNTIF(I7:I29, "Failed")</f>
        <v>1</v>
      </c>
      <c r="C4" s="19"/>
      <c r="D4" s="1" t="s">
        <v>10</v>
      </c>
      <c r="E4" s="18">
        <f>COUNTIF(I7:I29, "Passed")/COUNTA(A7:A24)</f>
        <v>0.94444444444444442</v>
      </c>
      <c r="F4" s="19"/>
      <c r="G4" s="1" t="s">
        <v>11</v>
      </c>
      <c r="H4" s="21" t="s">
        <v>12</v>
      </c>
      <c r="I4" s="22"/>
      <c r="J4" s="19"/>
    </row>
    <row r="6" spans="1:10" ht="42.75" x14ac:dyDescent="0.25">
      <c r="A6" s="2" t="s">
        <v>13</v>
      </c>
      <c r="B6" s="2" t="s">
        <v>14</v>
      </c>
      <c r="C6" s="2" t="s">
        <v>15</v>
      </c>
      <c r="D6" s="2" t="s">
        <v>16</v>
      </c>
      <c r="E6" s="2" t="s">
        <v>17</v>
      </c>
      <c r="F6" s="2" t="s">
        <v>18</v>
      </c>
      <c r="G6" s="2" t="s">
        <v>19</v>
      </c>
      <c r="H6" s="2" t="s">
        <v>20</v>
      </c>
      <c r="I6" s="2" t="s">
        <v>21</v>
      </c>
      <c r="J6" s="2" t="s">
        <v>22</v>
      </c>
    </row>
    <row r="7" spans="1:10" ht="99.75" x14ac:dyDescent="0.25">
      <c r="A7" s="3" t="s">
        <v>23</v>
      </c>
      <c r="B7" s="3" t="s">
        <v>24</v>
      </c>
      <c r="C7" s="4" t="s">
        <v>25</v>
      </c>
      <c r="D7" s="3" t="s">
        <v>26</v>
      </c>
      <c r="E7" s="4" t="s">
        <v>27</v>
      </c>
      <c r="F7" s="4" t="s">
        <v>28</v>
      </c>
      <c r="G7" s="4" t="s">
        <v>29</v>
      </c>
      <c r="H7" s="4" t="s">
        <v>30</v>
      </c>
      <c r="I7" s="5" t="s">
        <v>31</v>
      </c>
      <c r="J7" s="3"/>
    </row>
    <row r="8" spans="1:10" ht="85.5" x14ac:dyDescent="0.25">
      <c r="A8" s="6" t="s">
        <v>32</v>
      </c>
      <c r="B8" s="6" t="s">
        <v>24</v>
      </c>
      <c r="C8" s="7" t="s">
        <v>33</v>
      </c>
      <c r="D8" s="6" t="s">
        <v>26</v>
      </c>
      <c r="E8" s="7" t="s">
        <v>34</v>
      </c>
      <c r="F8" s="7" t="s">
        <v>35</v>
      </c>
      <c r="G8" s="7" t="s">
        <v>36</v>
      </c>
      <c r="H8" s="7" t="s">
        <v>37</v>
      </c>
      <c r="I8" s="8" t="s">
        <v>38</v>
      </c>
      <c r="J8" s="9" t="s">
        <v>39</v>
      </c>
    </row>
    <row r="9" spans="1:10" ht="71.25" x14ac:dyDescent="0.25">
      <c r="A9" s="3" t="s">
        <v>40</v>
      </c>
      <c r="B9" s="3" t="s">
        <v>24</v>
      </c>
      <c r="C9" s="4" t="s">
        <v>41</v>
      </c>
      <c r="D9" s="3" t="s">
        <v>26</v>
      </c>
      <c r="E9" s="4" t="s">
        <v>42</v>
      </c>
      <c r="F9" s="4" t="s">
        <v>43</v>
      </c>
      <c r="G9" s="4" t="s">
        <v>44</v>
      </c>
      <c r="H9" s="4" t="s">
        <v>45</v>
      </c>
      <c r="I9" s="5" t="s">
        <v>31</v>
      </c>
      <c r="J9" s="3"/>
    </row>
    <row r="10" spans="1:10" ht="85.5" x14ac:dyDescent="0.25">
      <c r="A10" s="6" t="s">
        <v>46</v>
      </c>
      <c r="B10" s="6" t="s">
        <v>24</v>
      </c>
      <c r="C10" s="7" t="s">
        <v>47</v>
      </c>
      <c r="D10" s="6" t="s">
        <v>26</v>
      </c>
      <c r="E10" s="7" t="s">
        <v>48</v>
      </c>
      <c r="F10" s="7" t="s">
        <v>49</v>
      </c>
      <c r="G10" s="7" t="s">
        <v>50</v>
      </c>
      <c r="H10" s="7" t="s">
        <v>51</v>
      </c>
      <c r="I10" s="5" t="s">
        <v>31</v>
      </c>
      <c r="J10" s="6"/>
    </row>
    <row r="11" spans="1:10" ht="71.25" x14ac:dyDescent="0.25">
      <c r="A11" s="3" t="s">
        <v>52</v>
      </c>
      <c r="B11" s="3" t="s">
        <v>24</v>
      </c>
      <c r="C11" s="4" t="s">
        <v>53</v>
      </c>
      <c r="D11" s="3" t="s">
        <v>54</v>
      </c>
      <c r="E11" s="4" t="s">
        <v>55</v>
      </c>
      <c r="F11" s="4" t="s">
        <v>56</v>
      </c>
      <c r="G11" s="4" t="s">
        <v>57</v>
      </c>
      <c r="H11" s="4" t="s">
        <v>58</v>
      </c>
      <c r="I11" s="5" t="s">
        <v>31</v>
      </c>
      <c r="J11" s="3"/>
    </row>
    <row r="12" spans="1:10" ht="71.25" x14ac:dyDescent="0.25">
      <c r="A12" s="6" t="s">
        <v>59</v>
      </c>
      <c r="B12" s="6" t="s">
        <v>24</v>
      </c>
      <c r="C12" s="7" t="s">
        <v>60</v>
      </c>
      <c r="D12" s="6" t="s">
        <v>54</v>
      </c>
      <c r="E12" s="7" t="s">
        <v>55</v>
      </c>
      <c r="F12" s="7" t="s">
        <v>61</v>
      </c>
      <c r="G12" s="7" t="s">
        <v>62</v>
      </c>
      <c r="H12" s="7" t="s">
        <v>63</v>
      </c>
      <c r="I12" s="5" t="s">
        <v>31</v>
      </c>
      <c r="J12" s="6"/>
    </row>
    <row r="13" spans="1:10" ht="85.5" x14ac:dyDescent="0.25">
      <c r="A13" s="3" t="s">
        <v>64</v>
      </c>
      <c r="B13" s="3" t="s">
        <v>24</v>
      </c>
      <c r="C13" s="4" t="s">
        <v>65</v>
      </c>
      <c r="D13" s="3" t="s">
        <v>26</v>
      </c>
      <c r="E13" s="4" t="s">
        <v>66</v>
      </c>
      <c r="F13" s="4" t="s">
        <v>67</v>
      </c>
      <c r="G13" s="4" t="s">
        <v>68</v>
      </c>
      <c r="H13" s="4" t="s">
        <v>69</v>
      </c>
      <c r="I13" s="5" t="s">
        <v>31</v>
      </c>
      <c r="J13" s="3"/>
    </row>
    <row r="14" spans="1:10" ht="71.25" x14ac:dyDescent="0.25">
      <c r="A14" s="6" t="s">
        <v>70</v>
      </c>
      <c r="B14" s="6" t="s">
        <v>24</v>
      </c>
      <c r="C14" s="7" t="s">
        <v>71</v>
      </c>
      <c r="D14" s="6" t="s">
        <v>26</v>
      </c>
      <c r="E14" s="7" t="s">
        <v>72</v>
      </c>
      <c r="F14" s="7" t="s">
        <v>73</v>
      </c>
      <c r="G14" s="7" t="s">
        <v>74</v>
      </c>
      <c r="H14" s="7" t="s">
        <v>75</v>
      </c>
      <c r="I14" s="5" t="s">
        <v>31</v>
      </c>
      <c r="J14" s="6"/>
    </row>
    <row r="15" spans="1:10" ht="71.25" x14ac:dyDescent="0.25">
      <c r="A15" s="3" t="s">
        <v>76</v>
      </c>
      <c r="B15" s="3" t="s">
        <v>77</v>
      </c>
      <c r="C15" s="4" t="s">
        <v>78</v>
      </c>
      <c r="D15" s="3" t="s">
        <v>26</v>
      </c>
      <c r="E15" s="4" t="s">
        <v>79</v>
      </c>
      <c r="F15" s="4" t="s">
        <v>80</v>
      </c>
      <c r="G15" s="4" t="s">
        <v>81</v>
      </c>
      <c r="H15" s="4" t="s">
        <v>82</v>
      </c>
      <c r="I15" s="5" t="s">
        <v>31</v>
      </c>
      <c r="J15" s="3"/>
    </row>
    <row r="16" spans="1:10" ht="71.25" x14ac:dyDescent="0.25">
      <c r="A16" s="6" t="s">
        <v>83</v>
      </c>
      <c r="B16" s="6" t="s">
        <v>77</v>
      </c>
      <c r="C16" s="7" t="s">
        <v>84</v>
      </c>
      <c r="D16" s="6" t="s">
        <v>26</v>
      </c>
      <c r="E16" s="7" t="s">
        <v>85</v>
      </c>
      <c r="F16" s="7" t="s">
        <v>86</v>
      </c>
      <c r="G16" s="7" t="s">
        <v>87</v>
      </c>
      <c r="H16" s="7" t="s">
        <v>88</v>
      </c>
      <c r="I16" s="5" t="s">
        <v>31</v>
      </c>
      <c r="J16" s="6"/>
    </row>
    <row r="17" spans="1:10" ht="71.25" x14ac:dyDescent="0.25">
      <c r="A17" s="3" t="s">
        <v>89</v>
      </c>
      <c r="B17" s="3" t="s">
        <v>77</v>
      </c>
      <c r="C17" s="4" t="s">
        <v>90</v>
      </c>
      <c r="D17" s="3" t="s">
        <v>26</v>
      </c>
      <c r="E17" s="4" t="s">
        <v>91</v>
      </c>
      <c r="F17" s="4" t="s">
        <v>92</v>
      </c>
      <c r="G17" s="4" t="s">
        <v>93</v>
      </c>
      <c r="H17" s="4" t="s">
        <v>94</v>
      </c>
      <c r="I17" s="5" t="s">
        <v>31</v>
      </c>
      <c r="J17" s="3"/>
    </row>
    <row r="18" spans="1:10" ht="85.5" x14ac:dyDescent="0.25">
      <c r="A18" s="6" t="s">
        <v>95</v>
      </c>
      <c r="B18" s="6" t="s">
        <v>77</v>
      </c>
      <c r="C18" s="7" t="s">
        <v>96</v>
      </c>
      <c r="D18" s="6" t="s">
        <v>97</v>
      </c>
      <c r="E18" s="7" t="s">
        <v>98</v>
      </c>
      <c r="F18" s="7" t="s">
        <v>99</v>
      </c>
      <c r="G18" s="7" t="s">
        <v>100</v>
      </c>
      <c r="H18" s="7" t="s">
        <v>101</v>
      </c>
      <c r="I18" s="5" t="s">
        <v>31</v>
      </c>
      <c r="J18" s="6"/>
    </row>
    <row r="19" spans="1:10" ht="171" x14ac:dyDescent="0.25">
      <c r="A19" s="3" t="s">
        <v>102</v>
      </c>
      <c r="B19" s="3" t="s">
        <v>77</v>
      </c>
      <c r="C19" s="4" t="s">
        <v>103</v>
      </c>
      <c r="D19" s="3" t="s">
        <v>54</v>
      </c>
      <c r="E19" s="4" t="s">
        <v>104</v>
      </c>
      <c r="F19" s="4" t="s">
        <v>105</v>
      </c>
      <c r="G19" s="4" t="s">
        <v>106</v>
      </c>
      <c r="H19" s="4" t="s">
        <v>107</v>
      </c>
      <c r="I19" s="5" t="s">
        <v>31</v>
      </c>
      <c r="J19" s="3"/>
    </row>
    <row r="20" spans="1:10" ht="99.75" x14ac:dyDescent="0.25">
      <c r="A20" s="6" t="s">
        <v>108</v>
      </c>
      <c r="B20" s="6" t="s">
        <v>77</v>
      </c>
      <c r="C20" s="7" t="s">
        <v>109</v>
      </c>
      <c r="D20" s="6" t="s">
        <v>110</v>
      </c>
      <c r="E20" s="7" t="s">
        <v>111</v>
      </c>
      <c r="F20" s="7" t="s">
        <v>112</v>
      </c>
      <c r="G20" s="7" t="s">
        <v>113</v>
      </c>
      <c r="H20" s="7" t="s">
        <v>114</v>
      </c>
      <c r="I20" s="5" t="s">
        <v>31</v>
      </c>
      <c r="J20" s="6"/>
    </row>
    <row r="21" spans="1:10" ht="85.5" x14ac:dyDescent="0.25">
      <c r="A21" s="3" t="s">
        <v>115</v>
      </c>
      <c r="B21" s="3" t="s">
        <v>116</v>
      </c>
      <c r="C21" s="4" t="s">
        <v>117</v>
      </c>
      <c r="D21" s="3" t="s">
        <v>54</v>
      </c>
      <c r="E21" s="4" t="s">
        <v>118</v>
      </c>
      <c r="F21" s="4" t="s">
        <v>119</v>
      </c>
      <c r="G21" s="4" t="s">
        <v>120</v>
      </c>
      <c r="H21" s="4" t="s">
        <v>121</v>
      </c>
      <c r="I21" s="5" t="s">
        <v>31</v>
      </c>
      <c r="J21" s="3"/>
    </row>
    <row r="22" spans="1:10" ht="57" x14ac:dyDescent="0.25">
      <c r="A22" s="6" t="s">
        <v>122</v>
      </c>
      <c r="B22" s="6" t="s">
        <v>116</v>
      </c>
      <c r="C22" s="7" t="s">
        <v>123</v>
      </c>
      <c r="D22" s="6" t="s">
        <v>26</v>
      </c>
      <c r="E22" s="7" t="s">
        <v>124</v>
      </c>
      <c r="F22" s="7" t="s">
        <v>125</v>
      </c>
      <c r="G22" s="7" t="s">
        <v>126</v>
      </c>
      <c r="H22" s="7" t="s">
        <v>127</v>
      </c>
      <c r="I22" s="5" t="s">
        <v>31</v>
      </c>
      <c r="J22" s="6"/>
    </row>
    <row r="23" spans="1:10" ht="114" x14ac:dyDescent="0.25">
      <c r="A23" s="3" t="s">
        <v>128</v>
      </c>
      <c r="B23" s="3" t="s">
        <v>116</v>
      </c>
      <c r="C23" s="4" t="s">
        <v>129</v>
      </c>
      <c r="D23" s="3" t="s">
        <v>130</v>
      </c>
      <c r="E23" s="4" t="s">
        <v>131</v>
      </c>
      <c r="F23" s="4" t="s">
        <v>132</v>
      </c>
      <c r="G23" s="4" t="s">
        <v>133</v>
      </c>
      <c r="H23" s="4" t="s">
        <v>134</v>
      </c>
      <c r="I23" s="5" t="s">
        <v>31</v>
      </c>
      <c r="J23" s="3"/>
    </row>
    <row r="24" spans="1:10" ht="71.25" x14ac:dyDescent="0.25">
      <c r="A24" s="6" t="s">
        <v>135</v>
      </c>
      <c r="B24" s="6" t="s">
        <v>116</v>
      </c>
      <c r="C24" s="7" t="s">
        <v>136</v>
      </c>
      <c r="D24" s="6" t="s">
        <v>26</v>
      </c>
      <c r="E24" s="7" t="s">
        <v>137</v>
      </c>
      <c r="F24" s="7" t="s">
        <v>138</v>
      </c>
      <c r="G24" s="7" t="s">
        <v>139</v>
      </c>
      <c r="H24" s="7" t="s">
        <v>140</v>
      </c>
      <c r="I24" s="5" t="s">
        <v>31</v>
      </c>
      <c r="J24" s="6"/>
    </row>
    <row r="25" spans="1:10" x14ac:dyDescent="0.25">
      <c r="A25" s="10"/>
      <c r="B25" s="10"/>
      <c r="C25" s="11"/>
      <c r="D25" s="10"/>
      <c r="E25" s="11"/>
      <c r="F25" s="11"/>
      <c r="G25" s="11"/>
      <c r="H25" s="11"/>
      <c r="I25" s="10"/>
      <c r="J25" s="10"/>
    </row>
    <row r="26" spans="1:10" x14ac:dyDescent="0.25">
      <c r="A26" s="12"/>
      <c r="B26" s="12"/>
      <c r="C26" s="13"/>
      <c r="D26" s="12"/>
      <c r="E26" s="13"/>
      <c r="F26" s="13"/>
      <c r="G26" s="13"/>
      <c r="H26" s="13"/>
      <c r="I26" s="12"/>
      <c r="J26" s="12"/>
    </row>
    <row r="27" spans="1:10" x14ac:dyDescent="0.25">
      <c r="A27" s="10"/>
      <c r="B27" s="10"/>
      <c r="C27" s="11"/>
      <c r="D27" s="10"/>
      <c r="E27" s="11"/>
      <c r="F27" s="11"/>
      <c r="G27" s="11"/>
      <c r="H27" s="11"/>
      <c r="I27" s="10"/>
      <c r="J27" s="10"/>
    </row>
    <row r="28" spans="1:10" x14ac:dyDescent="0.25">
      <c r="A28" s="12"/>
      <c r="B28" s="12"/>
      <c r="C28" s="13"/>
      <c r="D28" s="12"/>
      <c r="E28" s="13"/>
      <c r="F28" s="13"/>
      <c r="G28" s="13"/>
      <c r="H28" s="13"/>
      <c r="I28" s="12"/>
      <c r="J28" s="12"/>
    </row>
    <row r="29" spans="1:10" x14ac:dyDescent="0.25">
      <c r="A29" s="14"/>
      <c r="B29" s="14"/>
      <c r="C29" s="15"/>
      <c r="D29" s="14"/>
      <c r="E29" s="15"/>
      <c r="F29" s="15"/>
      <c r="G29" s="15"/>
      <c r="H29" s="15"/>
      <c r="I29" s="14"/>
      <c r="J29" s="14"/>
    </row>
  </sheetData>
  <mergeCells count="10">
    <mergeCell ref="A1:J1"/>
    <mergeCell ref="E4:F4"/>
    <mergeCell ref="B2:C2"/>
    <mergeCell ref="B3:C3"/>
    <mergeCell ref="E2:F2"/>
    <mergeCell ref="H4:J4"/>
    <mergeCell ref="H2:J2"/>
    <mergeCell ref="H3:J3"/>
    <mergeCell ref="B4:C4"/>
    <mergeCell ref="E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Huỳnh Dương Bảo</cp:lastModifiedBy>
  <dcterms:created xsi:type="dcterms:W3CDTF">2026-08-06T15:06:32Z</dcterms:created>
  <dcterms:modified xsi:type="dcterms:W3CDTF">2026-08-06T15:08:21Z</dcterms:modified>
</cp:coreProperties>
</file>